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lgoode/Documents/what-drives-car-prices/notebooks/tools/"/>
    </mc:Choice>
  </mc:AlternateContent>
  <xr:revisionPtr revIDLastSave="0" documentId="13_ncr:1_{57776914-67FE-C440-A227-93606977507A}" xr6:coauthVersionLast="47" xr6:coauthVersionMax="47" xr10:uidLastSave="{00000000-0000-0000-0000-000000000000}"/>
  <bookViews>
    <workbookView xWindow="5180" yWindow="1780" windowWidth="28040" windowHeight="17440" xr2:uid="{1593D99B-1A1E-D64D-845E-99C9CF3821E3}"/>
  </bookViews>
  <sheets>
    <sheet name="Input" sheetId="2" r:id="rId1"/>
    <sheet name="Coefficients" sheetId="1" r:id="rId2"/>
  </sheets>
  <definedNames>
    <definedName name="_xlnm._FilterDatabase" localSheetId="1" hidden="1">Coefficients!$A$1:$E$70</definedName>
    <definedName name="collapsed_fuel">Coefficients!$N$7:$N$11</definedName>
    <definedName name="cylinders_list">Coefficients!$K$32:$K$35</definedName>
    <definedName name="drive_list">Coefficients!$L$39:$L$42</definedName>
    <definedName name="Manufacturer_list">Coefficients!$P$46:$P$49</definedName>
    <definedName name="odometer_bins_list">Coefficients!$H$3:$H$32</definedName>
    <definedName name="region_list">Coefficients!$O$33:$O$38</definedName>
    <definedName name="transmission_list">Coefficients!$M$38:$M$40</definedName>
    <definedName name="type_list">Coefficients!$J$2:$J$4</definedName>
    <definedName name="year_bins_list">Coefficients!$I$2:$I$9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</calcChain>
</file>

<file path=xl/sharedStrings.xml><?xml version="1.0" encoding="utf-8"?>
<sst xmlns="http://schemas.openxmlformats.org/spreadsheetml/2006/main" count="256" uniqueCount="119">
  <si>
    <t>original_feature</t>
  </si>
  <si>
    <t>category</t>
  </si>
  <si>
    <t>coefficient</t>
  </si>
  <si>
    <t>new_year_bins</t>
  </si>
  <si>
    <t>2015-2020</t>
  </si>
  <si>
    <t>6679.739654893877</t>
  </si>
  <si>
    <t>new_odometer_bins</t>
  </si>
  <si>
    <t>20000-30000</t>
  </si>
  <si>
    <t>10000-20000</t>
  </si>
  <si>
    <t>4948.326708857201</t>
  </si>
  <si>
    <t>30000-40000</t>
  </si>
  <si>
    <t>4584.352217780901</t>
  </si>
  <si>
    <t>40000-50000</t>
  </si>
  <si>
    <t>4303.982929501899</t>
  </si>
  <si>
    <t>fuel</t>
  </si>
  <si>
    <t>electric</t>
  </si>
  <si>
    <t>diesel</t>
  </si>
  <si>
    <t>3879.1298271634264</t>
  </si>
  <si>
    <t>2010-2015</t>
  </si>
  <si>
    <t>3704.9629587298073</t>
  </si>
  <si>
    <t>50000-60000</t>
  </si>
  <si>
    <t>3534.158460112679</t>
  </si>
  <si>
    <t>280000-290000</t>
  </si>
  <si>
    <t>60000-70000</t>
  </si>
  <si>
    <t>3093.9639577328944</t>
  </si>
  <si>
    <t>250000-260000</t>
  </si>
  <si>
    <t>290000-300000</t>
  </si>
  <si>
    <t>270000-280000</t>
  </si>
  <si>
    <t>240000-250000</t>
  </si>
  <si>
    <t>70000-80000</t>
  </si>
  <si>
    <t>2673.293362851277</t>
  </si>
  <si>
    <t>1980-1985</t>
  </si>
  <si>
    <t>collapsed_type</t>
  </si>
  <si>
    <t>truck</t>
  </si>
  <si>
    <t>2495.921228180998</t>
  </si>
  <si>
    <t>260000-270000</t>
  </si>
  <si>
    <t>1995-2000</t>
  </si>
  <si>
    <t>220000-230000</t>
  </si>
  <si>
    <t>230000-240000</t>
  </si>
  <si>
    <t>200000-210000</t>
  </si>
  <si>
    <t>210000-220000</t>
  </si>
  <si>
    <t>1990-1995</t>
  </si>
  <si>
    <t>190000-200000</t>
  </si>
  <si>
    <t>80000-90000</t>
  </si>
  <si>
    <t>1900.8324181556775</t>
  </si>
  <si>
    <t>1985-1990</t>
  </si>
  <si>
    <t>180000-190000</t>
  </si>
  <si>
    <t>2000-2005</t>
  </si>
  <si>
    <t>collapsed_cylinders</t>
  </si>
  <si>
    <t>4 cylinders</t>
  </si>
  <si>
    <t>geo_regions</t>
  </si>
  <si>
    <t>alaska</t>
  </si>
  <si>
    <t>1550.2248111429633</t>
  </si>
  <si>
    <t>90000-100000</t>
  </si>
  <si>
    <t>1534.0105237310977</t>
  </si>
  <si>
    <t>8 cylinders</t>
  </si>
  <si>
    <t>1483.1098572346543</t>
  </si>
  <si>
    <t>car</t>
  </si>
  <si>
    <t>170000-180000</t>
  </si>
  <si>
    <t>transmission</t>
  </si>
  <si>
    <t>other</t>
  </si>
  <si>
    <t>1369.0224539089113</t>
  </si>
  <si>
    <t>drive</t>
  </si>
  <si>
    <t>4wd</t>
  </si>
  <si>
    <t>1276.331944837224</t>
  </si>
  <si>
    <t>fwd</t>
  </si>
  <si>
    <t>0-10000</t>
  </si>
  <si>
    <t>1188.3428099798596</t>
  </si>
  <si>
    <t>northeast</t>
  </si>
  <si>
    <t>automatic</t>
  </si>
  <si>
    <t>160000-170000</t>
  </si>
  <si>
    <t>150000-160000</t>
  </si>
  <si>
    <t>manufacturer_tier</t>
  </si>
  <si>
    <t>mid-market</t>
  </si>
  <si>
    <t>luxury</t>
  </si>
  <si>
    <t>894.1469541294155</t>
  </si>
  <si>
    <t>missing</t>
  </si>
  <si>
    <t>rwd</t>
  </si>
  <si>
    <t>859.8859285001831</t>
  </si>
  <si>
    <t>collapsed_type_other</t>
  </si>
  <si>
    <t>exotic</t>
  </si>
  <si>
    <t>759.3829355456172</t>
  </si>
  <si>
    <t>100000-110000</t>
  </si>
  <si>
    <t>economy</t>
  </si>
  <si>
    <t>midwest</t>
  </si>
  <si>
    <t>140000-150000</t>
  </si>
  <si>
    <t>621.6452618147632</t>
  </si>
  <si>
    <t>110000-120000</t>
  </si>
  <si>
    <t>540.7953374227732</t>
  </si>
  <si>
    <t>hawaii</t>
  </si>
  <si>
    <t>519.1085630962338</t>
  </si>
  <si>
    <t>gas</t>
  </si>
  <si>
    <t>306.2897746881234</t>
  </si>
  <si>
    <t>130000-140000</t>
  </si>
  <si>
    <t>collapsed_type_suv</t>
  </si>
  <si>
    <t>crossover</t>
  </si>
  <si>
    <t>manual</t>
  </si>
  <si>
    <t>southeast</t>
  </si>
  <si>
    <t>6 cylinders</t>
  </si>
  <si>
    <t>2005-2010</t>
  </si>
  <si>
    <t>142.28795289424252</t>
  </si>
  <si>
    <t>120000-130000</t>
  </si>
  <si>
    <t>van</t>
  </si>
  <si>
    <t>71.42540941155994</t>
  </si>
  <si>
    <t>hybrid</t>
  </si>
  <si>
    <t>west</t>
  </si>
  <si>
    <t>intercept</t>
  </si>
  <si>
    <t>Odometer Bin</t>
  </si>
  <si>
    <t>Year Bin</t>
  </si>
  <si>
    <t>Type</t>
  </si>
  <si>
    <t>Cylinders</t>
  </si>
  <si>
    <t>Drive</t>
  </si>
  <si>
    <t>Transmission</t>
  </si>
  <si>
    <t>Fuel</t>
  </si>
  <si>
    <t>Region</t>
  </si>
  <si>
    <t>Category</t>
  </si>
  <si>
    <t xml:space="preserve">Select Dropdown </t>
  </si>
  <si>
    <t>Price</t>
  </si>
  <si>
    <t>Manufacturer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</si>
</sst>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0" fillId="33" borderId="10" xfId="0" applyFill="1" applyBorder="1"/>
    <xf numFmtId="0" fontId="0" fillId="0" borderId="10" xfId="0" applyBorder="1"/>
    <xf numFmtId="0" fontId="0" fillId="34" borderId="10" xfId="0" applyFill="1" applyBorder="1"/>
    <xf numFmtId="164" fontId="0" fillId="34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2F2D-52E1-0443-8331-B3F235E5BCEA}">
  <dimension ref="A1:B12"/>
  <sheetViews>
    <sheetView tabSelected="1" zoomScale="240" zoomScaleNormal="240" workbookViewId="0">
      <selection activeCell="D10" sqref="D10"/>
    </sheetView>
  </sheetViews>
  <sheetFormatPr baseColWidth="10" defaultRowHeight="16" x14ac:dyDescent="0.2"/>
  <cols>
    <col min="1" max="1" width="17" customWidth="1"/>
    <col min="2" max="2" width="17.5" customWidth="1"/>
  </cols>
  <sheetData>
    <row r="1" spans="1:2" x14ac:dyDescent="0.2">
      <c r="A1" s="2" t="s">
        <v>115</v>
      </c>
      <c r="B1" s="2" t="s">
        <v>116</v>
      </c>
    </row>
    <row r="2" spans="1:2" x14ac:dyDescent="0.2">
      <c r="A2" s="3" t="s">
        <v>107</v>
      </c>
      <c r="B2" s="3" t="s">
        <v>82</v>
      </c>
    </row>
    <row r="3" spans="1:2" x14ac:dyDescent="0.2">
      <c r="A3" s="3" t="s">
        <v>108</v>
      </c>
      <c r="B3" s="3" t="s">
        <v>4</v>
      </c>
    </row>
    <row r="4" spans="1:2" x14ac:dyDescent="0.2">
      <c r="A4" s="3" t="s">
        <v>109</v>
      </c>
      <c r="B4" s="3" t="s">
        <v>57</v>
      </c>
    </row>
    <row r="5" spans="1:2" x14ac:dyDescent="0.2">
      <c r="A5" s="3" t="s">
        <v>110</v>
      </c>
      <c r="B5" s="3" t="s">
        <v>55</v>
      </c>
    </row>
    <row r="6" spans="1:2" x14ac:dyDescent="0.2">
      <c r="A6" s="3" t="s">
        <v>111</v>
      </c>
      <c r="B6" s="3" t="s">
        <v>77</v>
      </c>
    </row>
    <row r="7" spans="1:2" x14ac:dyDescent="0.2">
      <c r="A7" s="3" t="s">
        <v>112</v>
      </c>
      <c r="B7" s="3" t="s">
        <v>69</v>
      </c>
    </row>
    <row r="8" spans="1:2" x14ac:dyDescent="0.2">
      <c r="A8" s="3" t="s">
        <v>113</v>
      </c>
      <c r="B8" s="3" t="s">
        <v>91</v>
      </c>
    </row>
    <row r="9" spans="1:2" x14ac:dyDescent="0.2">
      <c r="A9" s="3" t="s">
        <v>114</v>
      </c>
      <c r="B9" s="3" t="s">
        <v>68</v>
      </c>
    </row>
    <row r="10" spans="1:2" x14ac:dyDescent="0.2">
      <c r="A10" s="3" t="s">
        <v>118</v>
      </c>
      <c r="B10" s="3" t="s">
        <v>73</v>
      </c>
    </row>
    <row r="12" spans="1:2" x14ac:dyDescent="0.2">
      <c r="A12" s="4" t="s">
        <v>117</v>
      </c>
      <c r="B12" s="5">
        <f>Coefficients!$E$1
+ _xlfn.XLOOKUP(B2, Coefficients!$B:$B, Coefficients!$C:$C)
+ _xlfn.XLOOKUP(B3, Coefficients!$B:$B, Coefficients!$C:$C)
+ _xlfn.XLOOKUP(B4, Coefficients!$B:$B, Coefficients!$C:$C)
+ _xlfn.XLOOKUP(B5, Coefficients!$B:$B, Coefficients!$C:$C)
+ _xlfn.XLOOKUP(B6, Coefficients!$B:$B, Coefficients!$C:$C)
+ _xlfn.XLOOKUP(B7, Coefficients!$B:$B, Coefficients!$C:$C)
+ _xlfn.XLOOKUP(B8, Coefficients!$B:$B, Coefficients!$C:$C)
+ _xlfn.XLOOKUP(B9, Coefficients!$B:$B, Coefficients!$C:$C)
+ _xlfn.XLOOKUP(B10, Coefficients!$B:$B, Coefficients!$C:$C)</f>
        <v>15666.602150027931</v>
      </c>
    </row>
  </sheetData>
  <dataValidations count="9">
    <dataValidation type="list" allowBlank="1" showInputMessage="1" showErrorMessage="1" sqref="B2" xr:uid="{30DA3E8D-90AF-8B4F-850D-2AA54BB330E2}">
      <formula1>odometer_bins_list</formula1>
    </dataValidation>
    <dataValidation type="list" allowBlank="1" showInputMessage="1" showErrorMessage="1" sqref="B3" xr:uid="{D14D282F-699B-8643-8139-7DC89D0414B2}">
      <formula1>year_bins_list</formula1>
    </dataValidation>
    <dataValidation type="list" allowBlank="1" showInputMessage="1" showErrorMessage="1" sqref="B4" xr:uid="{71A5A1DA-72F4-9343-B388-2F3A09C0F788}">
      <formula1>type_list</formula1>
    </dataValidation>
    <dataValidation type="list" allowBlank="1" showInputMessage="1" showErrorMessage="1" sqref="B5" xr:uid="{8EA24209-5047-A94F-B620-5EEDA77739F4}">
      <formula1>cylinders_list</formula1>
    </dataValidation>
    <dataValidation type="list" allowBlank="1" showInputMessage="1" showErrorMessage="1" sqref="B6" xr:uid="{ED74ADFD-77DA-BB42-9434-90649FA9CA03}">
      <formula1>drive_list</formula1>
    </dataValidation>
    <dataValidation type="list" allowBlank="1" showInputMessage="1" showErrorMessage="1" sqref="B7" xr:uid="{DF231A89-6400-9D44-A968-3697857629E6}">
      <formula1>transmission_list</formula1>
    </dataValidation>
    <dataValidation type="list" allowBlank="1" showInputMessage="1" showErrorMessage="1" sqref="B8" xr:uid="{579E8532-D534-EE46-A08B-A3CE1FB48D68}">
      <formula1>collapsed_fuel</formula1>
    </dataValidation>
    <dataValidation type="list" allowBlank="1" showInputMessage="1" showErrorMessage="1" sqref="B9" xr:uid="{11E3E114-5113-3A4A-9E19-B0942E052E20}">
      <formula1>region_list</formula1>
    </dataValidation>
    <dataValidation type="list" allowBlank="1" showInputMessage="1" showErrorMessage="1" sqref="B10" xr:uid="{DC50987D-5AD5-984C-8D24-C07D97485370}">
      <formula1>Manufacturer_list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C8DD-5BA4-944F-B298-A1596F202F13}">
  <dimension ref="A1:P70"/>
  <sheetViews>
    <sheetView workbookViewId="0">
      <selection activeCell="F10" sqref="F10"/>
    </sheetView>
  </sheetViews>
  <sheetFormatPr baseColWidth="10" defaultRowHeight="16" x14ac:dyDescent="0.2"/>
  <cols>
    <col min="1" max="1" width="25.1640625" customWidth="1"/>
    <col min="2" max="2" width="21.83203125" customWidth="1"/>
    <col min="3" max="3" width="19.5" customWidth="1"/>
    <col min="8" max="8" width="16.1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106</v>
      </c>
      <c r="E1">
        <v>10851.33</v>
      </c>
    </row>
    <row r="2" spans="1:14" x14ac:dyDescent="0.2">
      <c r="A2" t="s">
        <v>3</v>
      </c>
      <c r="B2" t="s">
        <v>4</v>
      </c>
      <c r="C2" s="1" t="s">
        <v>5</v>
      </c>
      <c r="I2" t="s">
        <v>31</v>
      </c>
      <c r="J2" t="s">
        <v>57</v>
      </c>
    </row>
    <row r="3" spans="1:14" x14ac:dyDescent="0.2">
      <c r="A3" t="s">
        <v>6</v>
      </c>
      <c r="B3" t="s">
        <v>7</v>
      </c>
      <c r="C3">
        <v>5015.4866345296296</v>
      </c>
      <c r="H3" t="s">
        <v>66</v>
      </c>
      <c r="I3" t="s">
        <v>45</v>
      </c>
      <c r="J3" t="s">
        <v>33</v>
      </c>
    </row>
    <row r="4" spans="1:14" x14ac:dyDescent="0.2">
      <c r="A4" t="s">
        <v>6</v>
      </c>
      <c r="B4" t="s">
        <v>8</v>
      </c>
      <c r="C4" s="1" t="s">
        <v>9</v>
      </c>
      <c r="H4" t="s">
        <v>8</v>
      </c>
      <c r="I4" t="s">
        <v>41</v>
      </c>
      <c r="J4" t="s">
        <v>102</v>
      </c>
    </row>
    <row r="5" spans="1:14" x14ac:dyDescent="0.2">
      <c r="A5" t="s">
        <v>6</v>
      </c>
      <c r="B5" t="s">
        <v>10</v>
      </c>
      <c r="C5" s="1" t="s">
        <v>11</v>
      </c>
      <c r="H5" t="s">
        <v>82</v>
      </c>
      <c r="I5" t="s">
        <v>36</v>
      </c>
    </row>
    <row r="6" spans="1:14" x14ac:dyDescent="0.2">
      <c r="A6" t="s">
        <v>6</v>
      </c>
      <c r="B6" t="s">
        <v>12</v>
      </c>
      <c r="C6" s="1" t="s">
        <v>13</v>
      </c>
      <c r="H6" t="s">
        <v>87</v>
      </c>
      <c r="I6" t="s">
        <v>47</v>
      </c>
    </row>
    <row r="7" spans="1:14" x14ac:dyDescent="0.2">
      <c r="A7" t="s">
        <v>14</v>
      </c>
      <c r="B7" t="s">
        <v>15</v>
      </c>
      <c r="C7">
        <v>-4065.3851826202599</v>
      </c>
      <c r="H7" t="s">
        <v>101</v>
      </c>
      <c r="I7" t="s">
        <v>99</v>
      </c>
      <c r="N7" t="s">
        <v>16</v>
      </c>
    </row>
    <row r="8" spans="1:14" x14ac:dyDescent="0.2">
      <c r="A8" t="s">
        <v>14</v>
      </c>
      <c r="B8" t="s">
        <v>16</v>
      </c>
      <c r="C8" s="1" t="s">
        <v>17</v>
      </c>
      <c r="H8" t="s">
        <v>93</v>
      </c>
      <c r="I8" t="s">
        <v>18</v>
      </c>
      <c r="N8" t="s">
        <v>15</v>
      </c>
    </row>
    <row r="9" spans="1:14" x14ac:dyDescent="0.2">
      <c r="A9" t="s">
        <v>3</v>
      </c>
      <c r="B9" t="s">
        <v>18</v>
      </c>
      <c r="C9" s="1" t="s">
        <v>19</v>
      </c>
      <c r="H9" t="s">
        <v>85</v>
      </c>
      <c r="I9" t="s">
        <v>4</v>
      </c>
      <c r="N9" t="s">
        <v>91</v>
      </c>
    </row>
    <row r="10" spans="1:14" x14ac:dyDescent="0.2">
      <c r="A10" t="s">
        <v>6</v>
      </c>
      <c r="B10" t="s">
        <v>20</v>
      </c>
      <c r="C10" s="1" t="s">
        <v>21</v>
      </c>
      <c r="H10" t="s">
        <v>71</v>
      </c>
      <c r="N10" t="s">
        <v>104</v>
      </c>
    </row>
    <row r="11" spans="1:14" x14ac:dyDescent="0.2">
      <c r="A11" t="s">
        <v>6</v>
      </c>
      <c r="B11" t="s">
        <v>22</v>
      </c>
      <c r="C11">
        <v>-3340.6679321782499</v>
      </c>
      <c r="H11" t="s">
        <v>70</v>
      </c>
      <c r="N11" t="s">
        <v>60</v>
      </c>
    </row>
    <row r="12" spans="1:14" x14ac:dyDescent="0.2">
      <c r="A12" t="s">
        <v>6</v>
      </c>
      <c r="B12" t="s">
        <v>23</v>
      </c>
      <c r="C12" s="1" t="s">
        <v>24</v>
      </c>
      <c r="H12" t="s">
        <v>58</v>
      </c>
    </row>
    <row r="13" spans="1:14" x14ac:dyDescent="0.2">
      <c r="A13" t="s">
        <v>6</v>
      </c>
      <c r="B13" t="s">
        <v>25</v>
      </c>
      <c r="C13">
        <v>-2934.3068132374001</v>
      </c>
      <c r="H13" t="s">
        <v>46</v>
      </c>
    </row>
    <row r="14" spans="1:14" x14ac:dyDescent="0.2">
      <c r="A14" t="s">
        <v>6</v>
      </c>
      <c r="B14" t="s">
        <v>26</v>
      </c>
      <c r="C14">
        <v>-2776.17091797895</v>
      </c>
      <c r="H14" t="s">
        <v>42</v>
      </c>
    </row>
    <row r="15" spans="1:14" x14ac:dyDescent="0.2">
      <c r="A15" t="s">
        <v>6</v>
      </c>
      <c r="B15" t="s">
        <v>27</v>
      </c>
      <c r="C15">
        <v>-2750.04501946967</v>
      </c>
      <c r="H15" t="s">
        <v>7</v>
      </c>
    </row>
    <row r="16" spans="1:14" x14ac:dyDescent="0.2">
      <c r="A16" t="s">
        <v>6</v>
      </c>
      <c r="B16" t="s">
        <v>28</v>
      </c>
      <c r="C16">
        <v>-2700.3531810109298</v>
      </c>
      <c r="H16" t="s">
        <v>39</v>
      </c>
    </row>
    <row r="17" spans="1:11" x14ac:dyDescent="0.2">
      <c r="A17" t="s">
        <v>6</v>
      </c>
      <c r="B17" t="s">
        <v>29</v>
      </c>
      <c r="C17" s="1" t="s">
        <v>30</v>
      </c>
      <c r="H17" t="s">
        <v>40</v>
      </c>
    </row>
    <row r="18" spans="1:11" x14ac:dyDescent="0.2">
      <c r="A18" t="s">
        <v>3</v>
      </c>
      <c r="B18" t="s">
        <v>31</v>
      </c>
      <c r="C18">
        <v>-2560.4816468192998</v>
      </c>
      <c r="H18" t="s">
        <v>37</v>
      </c>
    </row>
    <row r="19" spans="1:11" x14ac:dyDescent="0.2">
      <c r="A19" t="s">
        <v>32</v>
      </c>
      <c r="B19" t="s">
        <v>33</v>
      </c>
      <c r="C19" s="1" t="s">
        <v>34</v>
      </c>
      <c r="H19" t="s">
        <v>38</v>
      </c>
    </row>
    <row r="20" spans="1:11" x14ac:dyDescent="0.2">
      <c r="A20" t="s">
        <v>6</v>
      </c>
      <c r="B20" t="s">
        <v>35</v>
      </c>
      <c r="C20">
        <v>-2469.3355502739701</v>
      </c>
      <c r="H20" t="s">
        <v>28</v>
      </c>
    </row>
    <row r="21" spans="1:11" x14ac:dyDescent="0.2">
      <c r="A21" t="s">
        <v>3</v>
      </c>
      <c r="B21" t="s">
        <v>36</v>
      </c>
      <c r="C21">
        <v>-2443.86024718109</v>
      </c>
      <c r="H21" t="s">
        <v>25</v>
      </c>
    </row>
    <row r="22" spans="1:11" x14ac:dyDescent="0.2">
      <c r="A22" t="s">
        <v>6</v>
      </c>
      <c r="B22" t="s">
        <v>37</v>
      </c>
      <c r="C22">
        <v>-2330.6453155427098</v>
      </c>
      <c r="H22" t="s">
        <v>35</v>
      </c>
    </row>
    <row r="23" spans="1:11" x14ac:dyDescent="0.2">
      <c r="A23" t="s">
        <v>6</v>
      </c>
      <c r="B23" t="s">
        <v>38</v>
      </c>
      <c r="C23">
        <v>-2329.8056273910202</v>
      </c>
      <c r="H23" t="s">
        <v>27</v>
      </c>
    </row>
    <row r="24" spans="1:11" x14ac:dyDescent="0.2">
      <c r="A24" t="s">
        <v>6</v>
      </c>
      <c r="B24" t="s">
        <v>39</v>
      </c>
      <c r="C24">
        <v>-2225.4870399680899</v>
      </c>
      <c r="H24" t="s">
        <v>22</v>
      </c>
    </row>
    <row r="25" spans="1:11" x14ac:dyDescent="0.2">
      <c r="A25" t="s">
        <v>6</v>
      </c>
      <c r="B25" t="s">
        <v>40</v>
      </c>
      <c r="C25">
        <v>-2141.1940515002402</v>
      </c>
      <c r="H25" t="s">
        <v>26</v>
      </c>
    </row>
    <row r="26" spans="1:11" x14ac:dyDescent="0.2">
      <c r="A26" t="s">
        <v>3</v>
      </c>
      <c r="B26" t="s">
        <v>41</v>
      </c>
      <c r="C26">
        <v>-2079.82377831649</v>
      </c>
      <c r="H26" t="s">
        <v>10</v>
      </c>
    </row>
    <row r="27" spans="1:11" x14ac:dyDescent="0.2">
      <c r="A27" t="s">
        <v>6</v>
      </c>
      <c r="B27" t="s">
        <v>42</v>
      </c>
      <c r="C27">
        <v>-1918.7370566161601</v>
      </c>
      <c r="H27" t="s">
        <v>12</v>
      </c>
    </row>
    <row r="28" spans="1:11" x14ac:dyDescent="0.2">
      <c r="A28" t="s">
        <v>6</v>
      </c>
      <c r="B28" t="s">
        <v>43</v>
      </c>
      <c r="C28" s="1" t="s">
        <v>44</v>
      </c>
      <c r="H28" t="s">
        <v>20</v>
      </c>
    </row>
    <row r="29" spans="1:11" x14ac:dyDescent="0.2">
      <c r="A29" t="s">
        <v>3</v>
      </c>
      <c r="B29" t="s">
        <v>45</v>
      </c>
      <c r="C29">
        <v>-1737.40287840007</v>
      </c>
      <c r="H29" t="s">
        <v>23</v>
      </c>
    </row>
    <row r="30" spans="1:11" x14ac:dyDescent="0.2">
      <c r="A30" t="s">
        <v>6</v>
      </c>
      <c r="B30" t="s">
        <v>46</v>
      </c>
      <c r="C30">
        <v>-1721.3445980202</v>
      </c>
      <c r="H30" t="s">
        <v>29</v>
      </c>
    </row>
    <row r="31" spans="1:11" x14ac:dyDescent="0.2">
      <c r="A31" t="s">
        <v>3</v>
      </c>
      <c r="B31" t="s">
        <v>47</v>
      </c>
      <c r="C31">
        <v>-1705.4220158650201</v>
      </c>
      <c r="H31" t="s">
        <v>43</v>
      </c>
    </row>
    <row r="32" spans="1:11" x14ac:dyDescent="0.2">
      <c r="A32" t="s">
        <v>48</v>
      </c>
      <c r="B32" t="s">
        <v>49</v>
      </c>
      <c r="C32">
        <v>-1608.2401518542399</v>
      </c>
      <c r="H32" t="s">
        <v>53</v>
      </c>
      <c r="K32" t="s">
        <v>49</v>
      </c>
    </row>
    <row r="33" spans="1:16" x14ac:dyDescent="0.2">
      <c r="A33" t="s">
        <v>50</v>
      </c>
      <c r="B33" t="s">
        <v>51</v>
      </c>
      <c r="C33" s="1" t="s">
        <v>52</v>
      </c>
      <c r="K33" t="s">
        <v>98</v>
      </c>
      <c r="O33" t="s">
        <v>51</v>
      </c>
    </row>
    <row r="34" spans="1:16" x14ac:dyDescent="0.2">
      <c r="A34" t="s">
        <v>6</v>
      </c>
      <c r="B34" t="s">
        <v>53</v>
      </c>
      <c r="C34" s="1" t="s">
        <v>54</v>
      </c>
      <c r="K34" t="s">
        <v>55</v>
      </c>
      <c r="O34" t="s">
        <v>89</v>
      </c>
    </row>
    <row r="35" spans="1:16" x14ac:dyDescent="0.2">
      <c r="A35" t="s">
        <v>48</v>
      </c>
      <c r="B35" t="s">
        <v>55</v>
      </c>
      <c r="C35" s="1" t="s">
        <v>56</v>
      </c>
      <c r="K35" t="s">
        <v>76</v>
      </c>
      <c r="O35" t="s">
        <v>84</v>
      </c>
    </row>
    <row r="36" spans="1:16" x14ac:dyDescent="0.2">
      <c r="A36" t="s">
        <v>32</v>
      </c>
      <c r="B36" t="s">
        <v>57</v>
      </c>
      <c r="C36">
        <v>-1481.81467175287</v>
      </c>
      <c r="O36" t="s">
        <v>68</v>
      </c>
    </row>
    <row r="37" spans="1:16" x14ac:dyDescent="0.2">
      <c r="A37" t="s">
        <v>6</v>
      </c>
      <c r="B37" t="s">
        <v>58</v>
      </c>
      <c r="C37">
        <v>-1433.38984953663</v>
      </c>
      <c r="O37" t="s">
        <v>97</v>
      </c>
    </row>
    <row r="38" spans="1:16" x14ac:dyDescent="0.2">
      <c r="A38" t="s">
        <v>59</v>
      </c>
      <c r="B38" t="s">
        <v>60</v>
      </c>
      <c r="C38" s="1" t="s">
        <v>61</v>
      </c>
      <c r="M38" t="s">
        <v>69</v>
      </c>
      <c r="O38" t="s">
        <v>105</v>
      </c>
    </row>
    <row r="39" spans="1:16" x14ac:dyDescent="0.2">
      <c r="A39" t="s">
        <v>62</v>
      </c>
      <c r="B39" t="s">
        <v>63</v>
      </c>
      <c r="C39" s="1" t="s">
        <v>64</v>
      </c>
      <c r="L39" t="s">
        <v>63</v>
      </c>
      <c r="M39" t="s">
        <v>96</v>
      </c>
    </row>
    <row r="40" spans="1:16" x14ac:dyDescent="0.2">
      <c r="A40" t="s">
        <v>62</v>
      </c>
      <c r="B40" t="s">
        <v>65</v>
      </c>
      <c r="C40">
        <v>-1268.5649792265101</v>
      </c>
      <c r="L40" t="s">
        <v>65</v>
      </c>
      <c r="M40" t="s">
        <v>60</v>
      </c>
    </row>
    <row r="41" spans="1:16" x14ac:dyDescent="0.2">
      <c r="A41" t="s">
        <v>6</v>
      </c>
      <c r="B41" t="s">
        <v>66</v>
      </c>
      <c r="C41" s="1" t="s">
        <v>67</v>
      </c>
      <c r="L41" t="s">
        <v>76</v>
      </c>
    </row>
    <row r="42" spans="1:16" x14ac:dyDescent="0.2">
      <c r="A42" t="s">
        <v>50</v>
      </c>
      <c r="B42" t="s">
        <v>68</v>
      </c>
      <c r="C42">
        <v>-1104.7635119665599</v>
      </c>
      <c r="L42" t="s">
        <v>77</v>
      </c>
    </row>
    <row r="43" spans="1:16" x14ac:dyDescent="0.2">
      <c r="A43" t="s">
        <v>59</v>
      </c>
      <c r="B43" t="s">
        <v>69</v>
      </c>
      <c r="C43">
        <v>-1093.81822094168</v>
      </c>
    </row>
    <row r="44" spans="1:16" x14ac:dyDescent="0.2">
      <c r="A44" t="s">
        <v>6</v>
      </c>
      <c r="B44" t="s">
        <v>70</v>
      </c>
      <c r="C44">
        <v>-1024.2435003851899</v>
      </c>
    </row>
    <row r="45" spans="1:16" x14ac:dyDescent="0.2">
      <c r="A45" t="s">
        <v>6</v>
      </c>
      <c r="B45" t="s">
        <v>71</v>
      </c>
      <c r="C45">
        <v>-940.400638235521</v>
      </c>
    </row>
    <row r="46" spans="1:16" x14ac:dyDescent="0.2">
      <c r="A46" t="s">
        <v>72</v>
      </c>
      <c r="B46" t="s">
        <v>73</v>
      </c>
      <c r="C46">
        <v>-899.30165684302494</v>
      </c>
      <c r="P46" t="s">
        <v>83</v>
      </c>
    </row>
    <row r="47" spans="1:16" x14ac:dyDescent="0.2">
      <c r="A47" t="s">
        <v>72</v>
      </c>
      <c r="B47" t="s">
        <v>74</v>
      </c>
      <c r="C47" s="1" t="s">
        <v>75</v>
      </c>
      <c r="P47" t="s">
        <v>80</v>
      </c>
    </row>
    <row r="48" spans="1:16" x14ac:dyDescent="0.2">
      <c r="A48" t="s">
        <v>62</v>
      </c>
      <c r="B48" t="s">
        <v>76</v>
      </c>
      <c r="C48">
        <v>-867.65289405378996</v>
      </c>
      <c r="P48" t="s">
        <v>74</v>
      </c>
    </row>
    <row r="49" spans="1:16" x14ac:dyDescent="0.2">
      <c r="A49" t="s">
        <v>62</v>
      </c>
      <c r="B49" t="s">
        <v>77</v>
      </c>
      <c r="C49" s="1" t="s">
        <v>78</v>
      </c>
      <c r="P49" t="s">
        <v>73</v>
      </c>
    </row>
    <row r="50" spans="1:16" x14ac:dyDescent="0.2">
      <c r="A50" t="s">
        <v>79</v>
      </c>
      <c r="B50" t="s">
        <v>76</v>
      </c>
      <c r="C50">
        <v>-798.20367997129699</v>
      </c>
    </row>
    <row r="51" spans="1:16" x14ac:dyDescent="0.2">
      <c r="A51" t="s">
        <v>72</v>
      </c>
      <c r="B51" t="s">
        <v>80</v>
      </c>
      <c r="C51" s="1" t="s">
        <v>81</v>
      </c>
    </row>
    <row r="52" spans="1:16" x14ac:dyDescent="0.2">
      <c r="A52" t="s">
        <v>6</v>
      </c>
      <c r="B52" t="s">
        <v>82</v>
      </c>
      <c r="C52">
        <v>757.77596889150902</v>
      </c>
    </row>
    <row r="53" spans="1:16" x14ac:dyDescent="0.2">
      <c r="A53" t="s">
        <v>72</v>
      </c>
      <c r="B53" t="s">
        <v>83</v>
      </c>
      <c r="C53">
        <v>-754.22823277564999</v>
      </c>
    </row>
    <row r="54" spans="1:16" x14ac:dyDescent="0.2">
      <c r="A54" t="s">
        <v>50</v>
      </c>
      <c r="B54" t="s">
        <v>84</v>
      </c>
      <c r="C54">
        <v>-718.45280989437504</v>
      </c>
    </row>
    <row r="55" spans="1:16" x14ac:dyDescent="0.2">
      <c r="A55" t="s">
        <v>6</v>
      </c>
      <c r="B55" t="s">
        <v>85</v>
      </c>
      <c r="C55">
        <v>-658.98382452342003</v>
      </c>
    </row>
    <row r="56" spans="1:16" x14ac:dyDescent="0.2">
      <c r="A56" t="s">
        <v>14</v>
      </c>
      <c r="B56" t="s">
        <v>60</v>
      </c>
      <c r="C56" s="1" t="s">
        <v>86</v>
      </c>
    </row>
    <row r="57" spans="1:16" x14ac:dyDescent="0.2">
      <c r="A57" t="s">
        <v>6</v>
      </c>
      <c r="B57" t="s">
        <v>87</v>
      </c>
      <c r="C57" s="1" t="s">
        <v>88</v>
      </c>
    </row>
    <row r="58" spans="1:16" x14ac:dyDescent="0.2">
      <c r="A58" t="s">
        <v>50</v>
      </c>
      <c r="B58" t="s">
        <v>89</v>
      </c>
      <c r="C58" s="1" t="s">
        <v>90</v>
      </c>
    </row>
    <row r="59" spans="1:16" x14ac:dyDescent="0.2">
      <c r="A59" t="s">
        <v>14</v>
      </c>
      <c r="B59" t="s">
        <v>91</v>
      </c>
      <c r="C59">
        <v>-385.54119798814298</v>
      </c>
    </row>
    <row r="60" spans="1:16" x14ac:dyDescent="0.2">
      <c r="A60" t="s">
        <v>48</v>
      </c>
      <c r="B60" t="s">
        <v>76</v>
      </c>
      <c r="C60" s="1" t="s">
        <v>92</v>
      </c>
    </row>
    <row r="61" spans="1:16" x14ac:dyDescent="0.2">
      <c r="A61" t="s">
        <v>6</v>
      </c>
      <c r="B61" t="s">
        <v>93</v>
      </c>
      <c r="C61">
        <v>-295.243412637657</v>
      </c>
    </row>
    <row r="62" spans="1:16" x14ac:dyDescent="0.2">
      <c r="A62" t="s">
        <v>94</v>
      </c>
      <c r="B62" t="s">
        <v>95</v>
      </c>
      <c r="C62">
        <v>-287.32828588780899</v>
      </c>
    </row>
    <row r="63" spans="1:16" x14ac:dyDescent="0.2">
      <c r="A63" t="s">
        <v>59</v>
      </c>
      <c r="B63" t="s">
        <v>96</v>
      </c>
      <c r="C63">
        <v>-275.20423298672802</v>
      </c>
    </row>
    <row r="64" spans="1:16" x14ac:dyDescent="0.2">
      <c r="A64" t="s">
        <v>50</v>
      </c>
      <c r="B64" t="s">
        <v>97</v>
      </c>
      <c r="C64">
        <v>-211.935278526036</v>
      </c>
    </row>
    <row r="65" spans="1:3" x14ac:dyDescent="0.2">
      <c r="A65" t="s">
        <v>48</v>
      </c>
      <c r="B65" t="s">
        <v>98</v>
      </c>
      <c r="C65">
        <v>-181.15948006703499</v>
      </c>
    </row>
    <row r="66" spans="1:3" x14ac:dyDescent="0.2">
      <c r="A66" t="s">
        <v>3</v>
      </c>
      <c r="B66" t="s">
        <v>99</v>
      </c>
      <c r="C66" s="1" t="s">
        <v>100</v>
      </c>
    </row>
    <row r="67" spans="1:3" x14ac:dyDescent="0.2">
      <c r="A67" t="s">
        <v>6</v>
      </c>
      <c r="B67" t="s">
        <v>101</v>
      </c>
      <c r="C67">
        <v>-84.967001018825897</v>
      </c>
    </row>
    <row r="68" spans="1:3" x14ac:dyDescent="0.2">
      <c r="A68" t="s">
        <v>32</v>
      </c>
      <c r="B68" t="s">
        <v>102</v>
      </c>
      <c r="C68" s="1" t="s">
        <v>103</v>
      </c>
    </row>
    <row r="69" spans="1:3" x14ac:dyDescent="0.2">
      <c r="A69" t="s">
        <v>14</v>
      </c>
      <c r="B69" t="s">
        <v>104</v>
      </c>
      <c r="C69">
        <v>-49.848708316725997</v>
      </c>
    </row>
    <row r="70" spans="1:3" x14ac:dyDescent="0.2">
      <c r="A70" t="s">
        <v>50</v>
      </c>
      <c r="B70" t="s">
        <v>105</v>
      </c>
      <c r="C70">
        <v>-34.1817738375074</v>
      </c>
    </row>
  </sheetData>
  <autoFilter ref="A1:E70" xr:uid="{6BE7C8DD-5BA4-944F-B298-A1596F202F13}"/>
  <sortState xmlns:xlrd2="http://schemas.microsoft.com/office/spreadsheetml/2017/richdata2" ref="P46:P49">
    <sortCondition ref="P46:P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Input</vt:lpstr>
      <vt:lpstr>Coefficients</vt:lpstr>
      <vt:lpstr>collapsed_fuel</vt:lpstr>
      <vt:lpstr>cylinders_list</vt:lpstr>
      <vt:lpstr>drive_list</vt:lpstr>
      <vt:lpstr>Manufacturer_list</vt:lpstr>
      <vt:lpstr>odometer_bins_list</vt:lpstr>
      <vt:lpstr>region_list</vt:lpstr>
      <vt:lpstr>transmission_list</vt:lpstr>
      <vt:lpstr>type_list</vt:lpstr>
      <vt:lpstr>year_bins_list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Goode</dc:creator>
  <cp:lastModifiedBy>Jeff Goode</cp:lastModifiedBy>
  <dcterms:created xsi:type="dcterms:W3CDTF">2026-02-18T19:56:27Z</dcterms:created>
  <dcterms:modified xsi:type="dcterms:W3CDTF">2026-02-18T21:18:55Z</dcterms:modified>
</cp:coreProperties>
</file>